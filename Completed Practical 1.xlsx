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/Desktop/Final Year/Sememster 1/Assignments/Geohazards and Deformation of the Earth/Practical 1/"/>
    </mc:Choice>
  </mc:AlternateContent>
  <xr:revisionPtr revIDLastSave="0" documentId="13_ncr:1_{523B3828-C538-7649-860F-6D2AC0CB56D6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Euler pole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5" l="1"/>
  <c r="S24" i="5"/>
  <c r="R24" i="5"/>
  <c r="Q24" i="5"/>
  <c r="P24" i="5"/>
  <c r="O24" i="5"/>
  <c r="N24" i="5"/>
  <c r="L24" i="5"/>
  <c r="M24" i="5"/>
  <c r="K24" i="5"/>
  <c r="J24" i="5"/>
  <c r="I24" i="5"/>
  <c r="H24" i="5"/>
  <c r="V24" i="5"/>
  <c r="U24" i="5"/>
  <c r="G24" i="5"/>
  <c r="F24" i="5"/>
  <c r="E24" i="5"/>
  <c r="C12" i="5"/>
  <c r="K12" i="5" s="1"/>
  <c r="M12" i="5"/>
  <c r="E12" i="5"/>
  <c r="F14" i="5"/>
  <c r="F13" i="5"/>
  <c r="F12" i="5"/>
  <c r="G14" i="5"/>
  <c r="G13" i="5"/>
  <c r="G12" i="5"/>
  <c r="G10" i="5"/>
  <c r="G9" i="5"/>
  <c r="G8" i="5"/>
  <c r="F10" i="5"/>
  <c r="F9" i="5"/>
  <c r="F8" i="5"/>
  <c r="M8" i="5"/>
  <c r="L8" i="5"/>
  <c r="K8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V22" i="5"/>
  <c r="U22" i="5"/>
  <c r="S21" i="5"/>
  <c r="S20" i="5"/>
  <c r="S19" i="5"/>
  <c r="R21" i="5"/>
  <c r="Q21" i="5"/>
  <c r="P21" i="5"/>
  <c r="R20" i="5"/>
  <c r="Q20" i="5"/>
  <c r="P20" i="5"/>
  <c r="R19" i="5"/>
  <c r="Q19" i="5"/>
  <c r="P19" i="5"/>
  <c r="O21" i="5"/>
  <c r="O20" i="5"/>
  <c r="O19" i="5"/>
  <c r="N21" i="5"/>
  <c r="N20" i="5"/>
  <c r="N19" i="5"/>
  <c r="M21" i="5"/>
  <c r="L21" i="5"/>
  <c r="K21" i="5"/>
  <c r="M20" i="5"/>
  <c r="L20" i="5"/>
  <c r="K20" i="5"/>
  <c r="M19" i="5"/>
  <c r="L19" i="5"/>
  <c r="K19" i="5"/>
  <c r="J21" i="5"/>
  <c r="I21" i="5"/>
  <c r="H21" i="5"/>
  <c r="J20" i="5"/>
  <c r="I20" i="5"/>
  <c r="H20" i="5"/>
  <c r="J19" i="5"/>
  <c r="I19" i="5"/>
  <c r="H19" i="5"/>
  <c r="V21" i="5"/>
  <c r="V20" i="5"/>
  <c r="U21" i="5"/>
  <c r="U20" i="5"/>
  <c r="V19" i="5"/>
  <c r="U19" i="5"/>
  <c r="G21" i="5"/>
  <c r="G20" i="5"/>
  <c r="F21" i="5"/>
  <c r="F20" i="5"/>
  <c r="E21" i="5"/>
  <c r="E20" i="5"/>
  <c r="G19" i="5"/>
  <c r="F19" i="5"/>
  <c r="E19" i="5"/>
  <c r="G6" i="5"/>
  <c r="G5" i="5"/>
  <c r="G4" i="5"/>
  <c r="F6" i="5"/>
  <c r="F5" i="5"/>
  <c r="F4" i="5"/>
  <c r="L4" i="5"/>
  <c r="K4" i="5"/>
  <c r="M4" i="5" l="1"/>
</calcChain>
</file>

<file path=xl/sharedStrings.xml><?xml version="1.0" encoding="utf-8"?>
<sst xmlns="http://schemas.openxmlformats.org/spreadsheetml/2006/main" count="63" uniqueCount="48">
  <si>
    <t>deg/Myr</t>
  </si>
  <si>
    <t>Plate</t>
  </si>
  <si>
    <t>B-A</t>
  </si>
  <si>
    <t>Lat</t>
  </si>
  <si>
    <t>Lon</t>
  </si>
  <si>
    <t>R_x</t>
  </si>
  <si>
    <t>R_y</t>
  </si>
  <si>
    <t>R_z</t>
  </si>
  <si>
    <t>V_x</t>
  </si>
  <si>
    <t>V_y</t>
  </si>
  <si>
    <t>V_z</t>
  </si>
  <si>
    <t>V_e</t>
  </si>
  <si>
    <t>V_n</t>
  </si>
  <si>
    <t>V_u</t>
  </si>
  <si>
    <t>Site</t>
  </si>
  <si>
    <t>Name</t>
  </si>
  <si>
    <r>
      <rPr>
        <b/>
        <sz val="10"/>
        <rFont val="Symbol"/>
        <family val="1"/>
        <charset val="2"/>
      </rPr>
      <t>W</t>
    </r>
    <r>
      <rPr>
        <b/>
        <sz val="10"/>
        <rFont val="Arial"/>
        <family val="2"/>
      </rPr>
      <t>_x</t>
    </r>
  </si>
  <si>
    <r>
      <rPr>
        <b/>
        <sz val="10"/>
        <rFont val="Symbol"/>
        <family val="1"/>
        <charset val="2"/>
      </rPr>
      <t>W</t>
    </r>
    <r>
      <rPr>
        <b/>
        <sz val="10"/>
        <rFont val="Arial"/>
        <family val="2"/>
      </rPr>
      <t>_y</t>
    </r>
  </si>
  <si>
    <r>
      <rPr>
        <b/>
        <sz val="10"/>
        <rFont val="Symbol"/>
        <family val="1"/>
        <charset val="2"/>
      </rPr>
      <t>W</t>
    </r>
    <r>
      <rPr>
        <b/>
        <sz val="10"/>
        <rFont val="Arial"/>
        <family val="2"/>
      </rPr>
      <t>_z</t>
    </r>
  </si>
  <si>
    <t>Speed</t>
  </si>
  <si>
    <t>dXY</t>
  </si>
  <si>
    <t>Velocity (mm/yr)</t>
  </si>
  <si>
    <t>Position (km)</t>
  </si>
  <si>
    <t>Euler vector (rad/Myr)</t>
  </si>
  <si>
    <t>Euler pole</t>
  </si>
  <si>
    <t>Rotation</t>
  </si>
  <si>
    <t>Unit</t>
  </si>
  <si>
    <t>vector</t>
  </si>
  <si>
    <t>Euler vec</t>
  </si>
  <si>
    <t>rad/Myr</t>
  </si>
  <si>
    <t>A (Eur)</t>
  </si>
  <si>
    <t>B (Nub)</t>
  </si>
  <si>
    <t>Greenwich</t>
  </si>
  <si>
    <t>Land's End</t>
  </si>
  <si>
    <t>John O'G</t>
  </si>
  <si>
    <t>Gibraltar</t>
  </si>
  <si>
    <t>km</t>
  </si>
  <si>
    <t>Earth R</t>
  </si>
  <si>
    <t>Euler pole (radians)</t>
  </si>
  <si>
    <t>Speed2</t>
  </si>
  <si>
    <t>Site (radians)</t>
  </si>
  <si>
    <t>|Vxyz|</t>
  </si>
  <si>
    <t>|Venu|</t>
  </si>
  <si>
    <t>[individual]</t>
  </si>
  <si>
    <t>x</t>
  </si>
  <si>
    <t>y</t>
  </si>
  <si>
    <t>z</t>
  </si>
  <si>
    <r>
      <rPr>
        <b/>
        <sz val="10"/>
        <rFont val="Arial"/>
        <family val="2"/>
      </rPr>
      <t>values</t>
    </r>
    <r>
      <rPr>
        <sz val="10"/>
        <rFont val="Arial"/>
        <family val="2"/>
      </rPr>
      <t xml:space="preserve"> transposed from column G: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</si>
</sst>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"/>
    <numFmt numFmtId="167" formatCode="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Symbol"/>
      <family val="1"/>
      <charset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131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right" indent="1"/>
    </xf>
    <xf numFmtId="2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 indent="1"/>
    </xf>
    <xf numFmtId="167" fontId="0" fillId="0" borderId="0" xfId="0" applyNumberFormat="1" applyAlignment="1">
      <alignment horizontal="right" indent="1"/>
    </xf>
    <xf numFmtId="4" fontId="0" fillId="2" borderId="1" xfId="0" applyNumberFormat="1" applyFill="1" applyBorder="1"/>
    <xf numFmtId="167" fontId="0" fillId="2" borderId="1" xfId="0" applyNumberFormat="1" applyFill="1" applyBorder="1" applyAlignment="1">
      <alignment horizontal="right" indent="1"/>
    </xf>
    <xf numFmtId="167" fontId="0" fillId="2" borderId="5" xfId="0" applyNumberFormat="1" applyFill="1" applyBorder="1" applyAlignment="1">
      <alignment horizontal="right" indent="1"/>
    </xf>
    <xf numFmtId="4" fontId="0" fillId="2" borderId="7" xfId="0" applyNumberFormat="1" applyFill="1" applyBorder="1"/>
    <xf numFmtId="167" fontId="0" fillId="2" borderId="7" xfId="0" applyNumberFormat="1" applyFill="1" applyBorder="1" applyAlignment="1">
      <alignment horizontal="right" indent="1"/>
    </xf>
    <xf numFmtId="167" fontId="0" fillId="2" borderId="8" xfId="0" applyNumberFormat="1" applyFill="1" applyBorder="1" applyAlignment="1">
      <alignment horizontal="right" indent="1"/>
    </xf>
    <xf numFmtId="4" fontId="0" fillId="2" borderId="9" xfId="0" applyNumberFormat="1" applyFill="1" applyBorder="1"/>
    <xf numFmtId="4" fontId="0" fillId="2" borderId="10" xfId="0" applyNumberFormat="1" applyFill="1" applyBorder="1"/>
    <xf numFmtId="4" fontId="0" fillId="2" borderId="12" xfId="0" applyNumberFormat="1" applyFill="1" applyBorder="1"/>
    <xf numFmtId="4" fontId="0" fillId="2" borderId="13" xfId="0" applyNumberFormat="1" applyFill="1" applyBorder="1"/>
    <xf numFmtId="167" fontId="0" fillId="2" borderId="9" xfId="0" applyNumberFormat="1" applyFill="1" applyBorder="1" applyAlignment="1">
      <alignment horizontal="right" indent="1"/>
    </xf>
    <xf numFmtId="167" fontId="0" fillId="2" borderId="10" xfId="0" applyNumberFormat="1" applyFill="1" applyBorder="1" applyAlignment="1">
      <alignment horizontal="right" indent="1"/>
    </xf>
    <xf numFmtId="167" fontId="0" fillId="2" borderId="4" xfId="0" applyNumberFormat="1" applyFill="1" applyBorder="1" applyAlignment="1">
      <alignment horizontal="right" indent="1"/>
    </xf>
    <xf numFmtId="167" fontId="0" fillId="2" borderId="6" xfId="0" applyNumberFormat="1" applyFill="1" applyBorder="1" applyAlignment="1">
      <alignment horizontal="right" indent="1"/>
    </xf>
    <xf numFmtId="167" fontId="0" fillId="2" borderId="14" xfId="0" applyNumberFormat="1" applyFill="1" applyBorder="1" applyAlignment="1">
      <alignment horizontal="right" indent="1"/>
    </xf>
    <xf numFmtId="167" fontId="0" fillId="2" borderId="15" xfId="0" applyNumberFormat="1" applyFill="1" applyBorder="1" applyAlignment="1">
      <alignment horizontal="right" indent="1"/>
    </xf>
    <xf numFmtId="0" fontId="1" fillId="0" borderId="16" xfId="0" applyFont="1" applyBorder="1" applyAlignment="1">
      <alignment horizontal="center"/>
    </xf>
    <xf numFmtId="167" fontId="0" fillId="2" borderId="17" xfId="0" applyNumberFormat="1" applyFill="1" applyBorder="1" applyAlignment="1">
      <alignment horizontal="right" indent="1"/>
    </xf>
    <xf numFmtId="167" fontId="0" fillId="2" borderId="18" xfId="0" applyNumberFormat="1" applyFill="1" applyBorder="1" applyAlignment="1">
      <alignment horizontal="right" indent="1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/>
    <xf numFmtId="0" fontId="0" fillId="0" borderId="23" xfId="0" applyBorder="1"/>
    <xf numFmtId="0" fontId="0" fillId="0" borderId="24" xfId="0" applyBorder="1"/>
    <xf numFmtId="166" fontId="0" fillId="0" borderId="24" xfId="0" applyNumberFormat="1" applyBorder="1"/>
    <xf numFmtId="0" fontId="0" fillId="0" borderId="19" xfId="0" applyBorder="1"/>
    <xf numFmtId="0" fontId="0" fillId="0" borderId="20" xfId="0" applyBorder="1"/>
    <xf numFmtId="0" fontId="0" fillId="0" borderId="19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0" borderId="27" xfId="0" applyFont="1" applyBorder="1"/>
    <xf numFmtId="166" fontId="0" fillId="2" borderId="29" xfId="0" applyNumberFormat="1" applyFill="1" applyBorder="1"/>
    <xf numFmtId="2" fontId="0" fillId="0" borderId="20" xfId="0" applyNumberFormat="1" applyBorder="1"/>
    <xf numFmtId="166" fontId="0" fillId="2" borderId="28" xfId="0" applyNumberFormat="1" applyFill="1" applyBorder="1"/>
    <xf numFmtId="166" fontId="0" fillId="2" borderId="30" xfId="0" applyNumberFormat="1" applyFill="1" applyBorder="1"/>
    <xf numFmtId="166" fontId="0" fillId="2" borderId="31" xfId="0" applyNumberFormat="1" applyFill="1" applyBorder="1"/>
    <xf numFmtId="166" fontId="0" fillId="2" borderId="32" xfId="0" applyNumberFormat="1" applyFill="1" applyBorder="1"/>
    <xf numFmtId="164" fontId="0" fillId="0" borderId="20" xfId="0" applyNumberFormat="1" applyBorder="1" applyAlignment="1">
      <alignment horizontal="right" indent="1"/>
    </xf>
    <xf numFmtId="165" fontId="0" fillId="2" borderId="34" xfId="0" applyNumberFormat="1" applyFill="1" applyBorder="1" applyAlignment="1">
      <alignment horizontal="right" indent="1"/>
    </xf>
    <xf numFmtId="165" fontId="0" fillId="2" borderId="17" xfId="0" applyNumberFormat="1" applyFill="1" applyBorder="1" applyAlignment="1">
      <alignment horizontal="right" indent="1"/>
    </xf>
    <xf numFmtId="165" fontId="0" fillId="2" borderId="18" xfId="0" applyNumberFormat="1" applyFill="1" applyBorder="1" applyAlignment="1">
      <alignment horizontal="right" indent="1"/>
    </xf>
    <xf numFmtId="165" fontId="0" fillId="0" borderId="0" xfId="0" applyNumberFormat="1" applyAlignment="1">
      <alignment horizontal="right" indent="1"/>
    </xf>
    <xf numFmtId="0" fontId="2" fillId="0" borderId="4" xfId="0" applyFont="1" applyBorder="1"/>
    <xf numFmtId="167" fontId="0" fillId="2" borderId="28" xfId="0" applyNumberFormat="1" applyFill="1" applyBorder="1" applyAlignment="1">
      <alignment horizontal="right" indent="1"/>
    </xf>
    <xf numFmtId="4" fontId="0" fillId="2" borderId="35" xfId="0" applyNumberFormat="1" applyFill="1" applyBorder="1"/>
    <xf numFmtId="4" fontId="0" fillId="2" borderId="28" xfId="0" applyNumberFormat="1" applyFill="1" applyBorder="1"/>
    <xf numFmtId="4" fontId="0" fillId="2" borderId="33" xfId="0" applyNumberFormat="1" applyFill="1" applyBorder="1"/>
    <xf numFmtId="167" fontId="0" fillId="2" borderId="27" xfId="0" applyNumberFormat="1" applyFill="1" applyBorder="1" applyAlignment="1">
      <alignment horizontal="right" indent="1"/>
    </xf>
    <xf numFmtId="167" fontId="0" fillId="2" borderId="29" xfId="0" applyNumberFormat="1" applyFill="1" applyBorder="1" applyAlignment="1">
      <alignment horizontal="right" indent="1"/>
    </xf>
    <xf numFmtId="167" fontId="0" fillId="2" borderId="36" xfId="0" applyNumberFormat="1" applyFill="1" applyBorder="1" applyAlignment="1">
      <alignment horizontal="right" indent="1"/>
    </xf>
    <xf numFmtId="167" fontId="0" fillId="2" borderId="34" xfId="0" applyNumberFormat="1" applyFill="1" applyBorder="1" applyAlignment="1">
      <alignment horizontal="right" indent="1"/>
    </xf>
    <xf numFmtId="167" fontId="0" fillId="2" borderId="35" xfId="0" applyNumberFormat="1" applyFill="1" applyBorder="1" applyAlignment="1">
      <alignment horizontal="right" indent="1"/>
    </xf>
    <xf numFmtId="166" fontId="0" fillId="2" borderId="4" xfId="0" applyNumberFormat="1" applyFill="1" applyBorder="1"/>
    <xf numFmtId="166" fontId="0" fillId="2" borderId="1" xfId="0" applyNumberFormat="1" applyFill="1" applyBorder="1"/>
    <xf numFmtId="166" fontId="0" fillId="2" borderId="5" xfId="0" applyNumberForma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166" fontId="0" fillId="3" borderId="1" xfId="0" applyNumberFormat="1" applyFill="1" applyBorder="1" applyAlignment="1">
      <alignment horizontal="right"/>
    </xf>
    <xf numFmtId="0" fontId="1" fillId="0" borderId="46" xfId="0" applyFont="1" applyBorder="1" applyAlignment="1">
      <alignment horizontal="center"/>
    </xf>
    <xf numFmtId="166" fontId="0" fillId="3" borderId="1" xfId="0" applyNumberFormat="1" applyFill="1" applyBorder="1"/>
    <xf numFmtId="166" fontId="0" fillId="0" borderId="39" xfId="0" applyNumberFormat="1" applyBorder="1"/>
    <xf numFmtId="166" fontId="0" fillId="0" borderId="0" xfId="0" applyNumberFormat="1"/>
    <xf numFmtId="0" fontId="0" fillId="0" borderId="3" xfId="0" applyBorder="1"/>
    <xf numFmtId="2" fontId="0" fillId="0" borderId="3" xfId="0" applyNumberFormat="1" applyBorder="1"/>
    <xf numFmtId="164" fontId="0" fillId="0" borderId="3" xfId="0" applyNumberFormat="1" applyBorder="1" applyAlignment="1">
      <alignment horizontal="right" indent="1"/>
    </xf>
    <xf numFmtId="0" fontId="0" fillId="0" borderId="3" xfId="0" applyBorder="1" applyAlignment="1">
      <alignment horizontal="right" indent="1"/>
    </xf>
    <xf numFmtId="167" fontId="0" fillId="0" borderId="1" xfId="0" applyNumberFormat="1" applyBorder="1" applyAlignment="1">
      <alignment horizontal="right" indent="1"/>
    </xf>
    <xf numFmtId="167" fontId="0" fillId="0" borderId="12" xfId="0" applyNumberFormat="1" applyBorder="1" applyAlignment="1">
      <alignment horizontal="right" indent="1"/>
    </xf>
    <xf numFmtId="0" fontId="0" fillId="0" borderId="4" xfId="0" applyBorder="1"/>
    <xf numFmtId="0" fontId="0" fillId="0" borderId="1" xfId="0" applyBorder="1"/>
    <xf numFmtId="0" fontId="0" fillId="0" borderId="5" xfId="0" applyBorder="1"/>
    <xf numFmtId="4" fontId="0" fillId="0" borderId="9" xfId="0" applyNumberFormat="1" applyBorder="1"/>
    <xf numFmtId="4" fontId="0" fillId="0" borderId="1" xfId="0" applyNumberFormat="1" applyBorder="1"/>
    <xf numFmtId="4" fontId="0" fillId="0" borderId="12" xfId="0" applyNumberFormat="1" applyBorder="1"/>
    <xf numFmtId="167" fontId="0" fillId="0" borderId="4" xfId="0" applyNumberFormat="1" applyBorder="1" applyAlignment="1">
      <alignment horizontal="right" indent="1"/>
    </xf>
    <xf numFmtId="167" fontId="0" fillId="0" borderId="5" xfId="0" applyNumberFormat="1" applyBorder="1" applyAlignment="1">
      <alignment horizontal="right" indent="1"/>
    </xf>
    <xf numFmtId="167" fontId="0" fillId="0" borderId="14" xfId="0" applyNumberFormat="1" applyBorder="1" applyAlignment="1">
      <alignment horizontal="right" indent="1"/>
    </xf>
    <xf numFmtId="167" fontId="0" fillId="0" borderId="17" xfId="0" applyNumberFormat="1" applyBorder="1" applyAlignment="1">
      <alignment horizontal="right" indent="1"/>
    </xf>
    <xf numFmtId="167" fontId="0" fillId="0" borderId="9" xfId="0" applyNumberFormat="1" applyBorder="1" applyAlignment="1">
      <alignment horizontal="right" indent="1"/>
    </xf>
    <xf numFmtId="0" fontId="2" fillId="0" borderId="6" xfId="0" applyFont="1" applyBorder="1"/>
    <xf numFmtId="166" fontId="0" fillId="2" borderId="6" xfId="0" applyNumberFormat="1" applyFill="1" applyBorder="1"/>
    <xf numFmtId="166" fontId="0" fillId="2" borderId="7" xfId="0" applyNumberFormat="1" applyFill="1" applyBorder="1"/>
    <xf numFmtId="166" fontId="0" fillId="2" borderId="8" xfId="0" applyNumberFormat="1" applyFill="1" applyBorder="1"/>
    <xf numFmtId="166" fontId="0" fillId="0" borderId="1" xfId="0" applyNumberFormat="1" applyBorder="1"/>
    <xf numFmtId="164" fontId="0" fillId="4" borderId="28" xfId="0" applyNumberFormat="1" applyFill="1" applyBorder="1"/>
    <xf numFmtId="0" fontId="0" fillId="4" borderId="28" xfId="0" applyFill="1" applyBorder="1"/>
    <xf numFmtId="0" fontId="0" fillId="4" borderId="33" xfId="0" applyFill="1" applyBorder="1" applyAlignment="1">
      <alignment horizontal="right" indent="1"/>
    </xf>
    <xf numFmtId="4" fontId="0" fillId="4" borderId="18" xfId="0" applyNumberFormat="1" applyFill="1" applyBorder="1"/>
    <xf numFmtId="167" fontId="0" fillId="4" borderId="28" xfId="0" applyNumberFormat="1" applyFill="1" applyBorder="1" applyAlignment="1">
      <alignment horizontal="right" indent="1"/>
    </xf>
    <xf numFmtId="167" fontId="0" fillId="4" borderId="33" xfId="0" applyNumberFormat="1" applyFill="1" applyBorder="1" applyAlignment="1">
      <alignment horizontal="right" indent="1"/>
    </xf>
    <xf numFmtId="167" fontId="0" fillId="4" borderId="1" xfId="0" applyNumberFormat="1" applyFill="1" applyBorder="1" applyAlignment="1">
      <alignment horizontal="right" indent="1"/>
    </xf>
    <xf numFmtId="167" fontId="0" fillId="4" borderId="12" xfId="0" applyNumberFormat="1" applyFill="1" applyBorder="1" applyAlignment="1">
      <alignment horizontal="right" indent="1"/>
    </xf>
    <xf numFmtId="167" fontId="0" fillId="4" borderId="7" xfId="0" applyNumberFormat="1" applyFill="1" applyBorder="1" applyAlignment="1">
      <alignment horizontal="right" indent="1"/>
    </xf>
    <xf numFmtId="167" fontId="0" fillId="4" borderId="13" xfId="0" applyNumberFormat="1" applyFill="1" applyBorder="1" applyAlignment="1">
      <alignment horizontal="right" indent="1"/>
    </xf>
    <xf numFmtId="164" fontId="0" fillId="2" borderId="28" xfId="0" applyNumberFormat="1" applyFill="1" applyBorder="1"/>
    <xf numFmtId="164" fontId="0" fillId="2" borderId="33" xfId="0" applyNumberFormat="1" applyFill="1" applyBorder="1" applyAlignment="1">
      <alignment horizontal="right" indent="1"/>
    </xf>
    <xf numFmtId="166" fontId="1" fillId="0" borderId="0" xfId="0" applyNumberFormat="1" applyFont="1"/>
    <xf numFmtId="0" fontId="1" fillId="0" borderId="0" xfId="0" applyFont="1"/>
    <xf numFmtId="0" fontId="0" fillId="3" borderId="0" xfId="0" applyFill="1"/>
    <xf numFmtId="0" fontId="2" fillId="3" borderId="0" xfId="0" applyFont="1" applyFill="1" applyAlignment="1">
      <alignment horizontal="center"/>
    </xf>
    <xf numFmtId="166" fontId="0" fillId="3" borderId="0" xfId="0" applyNumberFormat="1" applyFill="1"/>
    <xf numFmtId="2" fontId="1" fillId="0" borderId="3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47"/>
  <sheetViews>
    <sheetView tabSelected="1" zoomScaleNormal="85" workbookViewId="0">
      <selection activeCell="J37" sqref="J37"/>
    </sheetView>
  </sheetViews>
  <sheetFormatPr baseColWidth="10" defaultColWidth="8.83203125" defaultRowHeight="13" x14ac:dyDescent="0.15"/>
  <cols>
    <col min="1" max="1" width="1.6640625" customWidth="1"/>
    <col min="2" max="2" width="10.5" customWidth="1"/>
    <col min="4" max="4" width="14.1640625" bestFit="1" customWidth="1"/>
    <col min="5" max="7" width="10.33203125" customWidth="1"/>
    <col min="8" max="9" width="9.83203125" customWidth="1"/>
    <col min="10" max="10" width="9.83203125" style="3" customWidth="1"/>
    <col min="11" max="11" width="8.6640625" style="10" bestFit="1" customWidth="1"/>
    <col min="12" max="18" width="9.1640625" style="10"/>
    <col min="22" max="22" width="9.33203125" bestFit="1" customWidth="1"/>
  </cols>
  <sheetData>
    <row r="1" spans="2:20" ht="8.25" customHeight="1" thickBot="1" x14ac:dyDescent="0.2"/>
    <row r="2" spans="2:20" s="3" customFormat="1" x14ac:dyDescent="0.15">
      <c r="B2" s="71" t="s">
        <v>1</v>
      </c>
      <c r="C2" s="126" t="s">
        <v>24</v>
      </c>
      <c r="D2" s="127"/>
      <c r="E2" s="72" t="s">
        <v>25</v>
      </c>
      <c r="F2" s="30" t="s">
        <v>26</v>
      </c>
      <c r="G2" s="73" t="s">
        <v>28</v>
      </c>
      <c r="I2" s="30" t="s">
        <v>37</v>
      </c>
      <c r="K2" s="124" t="s">
        <v>38</v>
      </c>
      <c r="L2" s="125"/>
      <c r="M2" s="76" t="s">
        <v>25</v>
      </c>
      <c r="R2" s="8"/>
      <c r="S2" s="8"/>
      <c r="T2" s="5"/>
    </row>
    <row r="3" spans="2:20" s="3" customFormat="1" ht="14" thickBot="1" x14ac:dyDescent="0.2">
      <c r="B3" s="43"/>
      <c r="C3" s="44" t="s">
        <v>3</v>
      </c>
      <c r="D3" s="45" t="s">
        <v>4</v>
      </c>
      <c r="E3" s="34" t="s">
        <v>0</v>
      </c>
      <c r="F3" s="36" t="s">
        <v>27</v>
      </c>
      <c r="G3" s="35" t="s">
        <v>29</v>
      </c>
      <c r="I3" s="79" t="s">
        <v>36</v>
      </c>
      <c r="K3" s="74" t="s">
        <v>3</v>
      </c>
      <c r="L3" s="75" t="s">
        <v>4</v>
      </c>
      <c r="M3" s="77" t="s">
        <v>29</v>
      </c>
      <c r="R3" s="8"/>
      <c r="S3" s="8"/>
      <c r="T3" s="5"/>
    </row>
    <row r="4" spans="2:20" ht="14" thickBot="1" x14ac:dyDescent="0.2">
      <c r="B4" s="46" t="s">
        <v>30</v>
      </c>
      <c r="C4" s="105">
        <v>56.33</v>
      </c>
      <c r="D4" s="106">
        <v>-95.978999999999999</v>
      </c>
      <c r="E4" s="107">
        <v>0.26100000000000001</v>
      </c>
      <c r="F4" s="54">
        <f>COS(K4)*COS(L4)</f>
        <v>-5.7749401599137738E-2</v>
      </c>
      <c r="G4" s="50">
        <f>M4*F4</f>
        <v>-2.6306638892893377E-4</v>
      </c>
      <c r="H4" s="117" t="s">
        <v>44</v>
      </c>
      <c r="I4" s="108">
        <v>6371</v>
      </c>
      <c r="K4" s="80">
        <f>RADIANS(C4)</f>
        <v>0.98314396764840584</v>
      </c>
      <c r="L4" s="80">
        <f>RADIANS(D4)</f>
        <v>-1.6751495627716375</v>
      </c>
      <c r="M4" s="78">
        <f>RADIANS(E4)</f>
        <v>4.5553093477052001E-3</v>
      </c>
      <c r="R4" s="11"/>
      <c r="S4" s="4"/>
      <c r="T4" s="5"/>
    </row>
    <row r="5" spans="2:20" x14ac:dyDescent="0.15">
      <c r="B5" s="37"/>
      <c r="C5" s="4"/>
      <c r="D5" s="4"/>
      <c r="E5" s="12"/>
      <c r="F5" s="55">
        <f>COS(K4)*SIN(L4)</f>
        <v>-0.5513928354547456</v>
      </c>
      <c r="G5" s="51">
        <f>M4*F5</f>
        <v>-2.511764937604678E-3</v>
      </c>
      <c r="H5" s="118" t="s">
        <v>45</v>
      </c>
      <c r="K5" s="81"/>
      <c r="L5" s="81"/>
      <c r="R5" s="11"/>
      <c r="S5" s="4"/>
      <c r="T5" s="5"/>
    </row>
    <row r="6" spans="2:20" ht="14" thickBot="1" x14ac:dyDescent="0.2">
      <c r="B6" s="41"/>
      <c r="C6" s="48"/>
      <c r="D6" s="48"/>
      <c r="E6" s="53"/>
      <c r="F6" s="56">
        <f>SIN(K4)</f>
        <v>0.83224452393759685</v>
      </c>
      <c r="G6" s="52">
        <f>M4*F6</f>
        <v>3.7911312594693992E-3</v>
      </c>
      <c r="H6" s="118" t="s">
        <v>46</v>
      </c>
      <c r="K6" s="82"/>
      <c r="L6" s="82"/>
      <c r="R6" s="11"/>
      <c r="S6" s="4"/>
      <c r="T6" s="5"/>
    </row>
    <row r="7" spans="2:20" ht="14" thickBot="1" x14ac:dyDescent="0.2">
      <c r="B7" s="38"/>
      <c r="C7" s="4"/>
      <c r="D7" s="4"/>
      <c r="E7" s="12"/>
      <c r="F7" s="10"/>
      <c r="G7" s="39"/>
      <c r="K7" s="82"/>
      <c r="L7" s="82"/>
      <c r="M7" s="12"/>
      <c r="R7" s="11"/>
      <c r="S7" s="4"/>
      <c r="T7" s="5"/>
    </row>
    <row r="8" spans="2:20" x14ac:dyDescent="0.15">
      <c r="B8" s="46" t="s">
        <v>31</v>
      </c>
      <c r="C8" s="106">
        <v>49.954999999999998</v>
      </c>
      <c r="D8" s="106">
        <v>-82.501000000000005</v>
      </c>
      <c r="E8" s="107">
        <v>0.26900000000000002</v>
      </c>
      <c r="F8" s="54">
        <f>COS(K8)*COS(L8)</f>
        <v>8.3967991081381949E-2</v>
      </c>
      <c r="G8" s="50">
        <f>M8*F8</f>
        <v>3.9422431796628886E-4</v>
      </c>
      <c r="H8" s="117" t="s">
        <v>44</v>
      </c>
      <c r="K8" s="80">
        <f>RADIANS(C8)</f>
        <v>0.87187922783376726</v>
      </c>
      <c r="L8" s="80">
        <f>RADIANS(D8)</f>
        <v>-1.4399140861878419</v>
      </c>
      <c r="M8" s="78">
        <f>RADIANS(E8)</f>
        <v>4.6949356878647468E-3</v>
      </c>
      <c r="R8" s="11"/>
      <c r="S8" s="4"/>
      <c r="T8" s="5"/>
    </row>
    <row r="9" spans="2:20" x14ac:dyDescent="0.15">
      <c r="B9" s="38"/>
      <c r="C9" s="4"/>
      <c r="D9" s="4"/>
      <c r="E9" s="12"/>
      <c r="F9" s="55">
        <f>COS(K8)*SIN(L8)</f>
        <v>-0.63788624427685869</v>
      </c>
      <c r="G9" s="51">
        <f>M8*F9</f>
        <v>-2.9948348930534333E-3</v>
      </c>
      <c r="H9" s="118" t="s">
        <v>45</v>
      </c>
      <c r="K9" s="81"/>
      <c r="L9" s="81"/>
      <c r="R9" s="11"/>
      <c r="S9" s="4"/>
      <c r="T9" s="5"/>
    </row>
    <row r="10" spans="2:20" ht="14" thickBot="1" x14ac:dyDescent="0.2">
      <c r="B10" s="41"/>
      <c r="C10" s="48"/>
      <c r="D10" s="48"/>
      <c r="E10" s="53"/>
      <c r="F10" s="56">
        <f>SIN(K8)</f>
        <v>0.76553936269542722</v>
      </c>
      <c r="G10" s="52">
        <f>M8*F10</f>
        <v>3.5941580743839956E-3</v>
      </c>
      <c r="H10" s="118" t="s">
        <v>46</v>
      </c>
      <c r="K10" s="82"/>
      <c r="L10" s="82"/>
      <c r="R10" s="11"/>
      <c r="S10" s="4"/>
      <c r="T10" s="5"/>
    </row>
    <row r="11" spans="2:20" ht="14" thickBot="1" x14ac:dyDescent="0.2">
      <c r="B11" s="38"/>
      <c r="C11" s="4"/>
      <c r="D11" s="4"/>
      <c r="E11" s="12"/>
      <c r="F11" s="57"/>
      <c r="G11" s="40"/>
      <c r="I11" s="82"/>
      <c r="K11" s="82"/>
      <c r="L11" s="82"/>
      <c r="R11" s="11"/>
      <c r="S11" s="4"/>
      <c r="T11" s="5"/>
    </row>
    <row r="12" spans="2:20" x14ac:dyDescent="0.15">
      <c r="B12" s="46" t="s">
        <v>2</v>
      </c>
      <c r="C12" s="115" t="e">
        <f>DEGREES(ASIN(G14/G30))</f>
        <v>#DIV/0!</v>
      </c>
      <c r="D12" s="115">
        <v>-36.32</v>
      </c>
      <c r="E12" s="116">
        <f>DEGREES(M12)</f>
        <v>4.8080209761403071E-2</v>
      </c>
      <c r="F12" s="54">
        <f t="shared" ref="F12:G14" si="0">F8-F4</f>
        <v>0.14171739268051969</v>
      </c>
      <c r="G12" s="50">
        <f t="shared" si="0"/>
        <v>6.5729070689522263E-4</v>
      </c>
      <c r="H12" s="117" t="s">
        <v>44</v>
      </c>
      <c r="K12" s="80" t="e">
        <f>RADIANS(C12)</f>
        <v>#DIV/0!</v>
      </c>
      <c r="L12" s="80">
        <f>RADIANS(D12)</f>
        <v>-0.63390358432434046</v>
      </c>
      <c r="M12" s="78">
        <f>SQRT(G12^2+G13^2+G14^2)</f>
        <v>8.3915796538600084E-4</v>
      </c>
      <c r="R12" s="11"/>
      <c r="S12" s="4"/>
      <c r="T12" s="5"/>
    </row>
    <row r="13" spans="2:20" x14ac:dyDescent="0.15">
      <c r="B13" s="38"/>
      <c r="F13" s="55">
        <f t="shared" si="0"/>
        <v>-8.6493408822113094E-2</v>
      </c>
      <c r="G13" s="51">
        <f t="shared" si="0"/>
        <v>-4.830699554487553E-4</v>
      </c>
      <c r="H13" s="118" t="s">
        <v>45</v>
      </c>
      <c r="K13" s="81"/>
      <c r="L13" s="81"/>
      <c r="R13" s="11"/>
      <c r="S13" s="4"/>
      <c r="T13" s="5"/>
    </row>
    <row r="14" spans="2:20" ht="14" thickBot="1" x14ac:dyDescent="0.2">
      <c r="B14" s="41"/>
      <c r="C14" s="42"/>
      <c r="D14" s="42"/>
      <c r="E14" s="42"/>
      <c r="F14" s="56">
        <f t="shared" si="0"/>
        <v>-6.670516124216963E-2</v>
      </c>
      <c r="G14" s="52">
        <f t="shared" si="0"/>
        <v>-1.9697318508540363E-4</v>
      </c>
      <c r="H14" s="118" t="s">
        <v>46</v>
      </c>
      <c r="K14" s="82"/>
      <c r="L14" s="82"/>
      <c r="M14" s="12"/>
      <c r="R14" s="11"/>
      <c r="S14" s="4"/>
      <c r="T14" s="5"/>
    </row>
    <row r="15" spans="2:20" x14ac:dyDescent="0.15">
      <c r="B15" s="83"/>
      <c r="C15" s="84"/>
      <c r="D15" s="84"/>
      <c r="E15" s="85"/>
      <c r="F15" s="86"/>
      <c r="G15" s="83"/>
      <c r="K15" s="82"/>
      <c r="L15" s="82"/>
      <c r="M15" s="12"/>
      <c r="R15" s="11"/>
      <c r="S15" s="4"/>
      <c r="T15" s="5"/>
    </row>
    <row r="16" spans="2:20" ht="14" thickBot="1" x14ac:dyDescent="0.2">
      <c r="E16" s="119"/>
      <c r="F16" s="120" t="s">
        <v>47</v>
      </c>
      <c r="G16" s="121"/>
      <c r="J16"/>
      <c r="M16" s="12"/>
      <c r="R16" s="11"/>
      <c r="S16" s="4"/>
      <c r="T16" s="5"/>
    </row>
    <row r="17" spans="2:22" s="2" customFormat="1" x14ac:dyDescent="0.15">
      <c r="B17" s="128" t="s">
        <v>14</v>
      </c>
      <c r="C17" s="129"/>
      <c r="D17" s="129"/>
      <c r="E17" s="128" t="s">
        <v>23</v>
      </c>
      <c r="F17" s="129"/>
      <c r="G17" s="130"/>
      <c r="H17" s="129" t="s">
        <v>22</v>
      </c>
      <c r="I17" s="129"/>
      <c r="J17" s="129"/>
      <c r="K17" s="128" t="s">
        <v>21</v>
      </c>
      <c r="L17" s="129"/>
      <c r="M17" s="130"/>
      <c r="N17" s="72" t="s">
        <v>19</v>
      </c>
      <c r="O17" s="30"/>
      <c r="P17" s="122" t="s">
        <v>21</v>
      </c>
      <c r="Q17" s="122"/>
      <c r="R17" s="123"/>
      <c r="S17" s="30" t="s">
        <v>39</v>
      </c>
      <c r="T17" s="9"/>
      <c r="U17" s="124" t="s">
        <v>40</v>
      </c>
      <c r="V17" s="125"/>
    </row>
    <row r="18" spans="2:22" s="2" customFormat="1" ht="14" thickBot="1" x14ac:dyDescent="0.2">
      <c r="B18" s="33" t="s">
        <v>15</v>
      </c>
      <c r="C18" s="34" t="s">
        <v>3</v>
      </c>
      <c r="D18" s="34" t="s">
        <v>4</v>
      </c>
      <c r="E18" s="33" t="s">
        <v>16</v>
      </c>
      <c r="F18" s="34" t="s">
        <v>17</v>
      </c>
      <c r="G18" s="35" t="s">
        <v>18</v>
      </c>
      <c r="H18" s="34" t="s">
        <v>5</v>
      </c>
      <c r="I18" s="34" t="s">
        <v>6</v>
      </c>
      <c r="J18" s="34" t="s">
        <v>7</v>
      </c>
      <c r="K18" s="33" t="s">
        <v>8</v>
      </c>
      <c r="L18" s="34" t="s">
        <v>9</v>
      </c>
      <c r="M18" s="35" t="s">
        <v>10</v>
      </c>
      <c r="N18" s="34" t="s">
        <v>41</v>
      </c>
      <c r="O18" s="36" t="s">
        <v>20</v>
      </c>
      <c r="P18" s="34" t="s">
        <v>11</v>
      </c>
      <c r="Q18" s="34" t="s">
        <v>12</v>
      </c>
      <c r="R18" s="35" t="s">
        <v>13</v>
      </c>
      <c r="S18" s="36" t="s">
        <v>42</v>
      </c>
      <c r="T18" s="9"/>
      <c r="U18" s="74" t="s">
        <v>3</v>
      </c>
      <c r="V18" s="75" t="s">
        <v>4</v>
      </c>
    </row>
    <row r="19" spans="2:22" x14ac:dyDescent="0.15">
      <c r="B19" s="46" t="s">
        <v>32</v>
      </c>
      <c r="C19" s="109">
        <v>51.5</v>
      </c>
      <c r="D19" s="110">
        <v>0</v>
      </c>
      <c r="E19" s="50">
        <f>G4</f>
        <v>-2.6306638892893377E-4</v>
      </c>
      <c r="F19" s="49">
        <f>G5</f>
        <v>-2.511764937604678E-3</v>
      </c>
      <c r="G19" s="47">
        <f>G6</f>
        <v>3.7911312594693992E-3</v>
      </c>
      <c r="H19" s="60">
        <f>I4*COS(U19)*COS(V19)</f>
        <v>3966.0407500182741</v>
      </c>
      <c r="I19" s="61">
        <f>I4*COS(U19)*SIN(V19)</f>
        <v>0</v>
      </c>
      <c r="J19" s="62">
        <f>I4*SIN(U19)</f>
        <v>4985.996567306729</v>
      </c>
      <c r="K19" s="63">
        <f>F19*J19-G19*I19</f>
        <v>-12.523651356778325</v>
      </c>
      <c r="L19" s="59">
        <f>G19*H19-E19*J19</f>
        <v>16.347429175897183</v>
      </c>
      <c r="M19" s="64">
        <f>E19*I19-F19*H19</f>
        <v>9.9617620970072611</v>
      </c>
      <c r="N19" s="65">
        <f>SQRT(K19^2+L19^2+M19^2)</f>
        <v>22.876122661947775</v>
      </c>
      <c r="O19" s="66">
        <f>K19*COS(V19)+L19*SIN(V19)</f>
        <v>-12.523651356778325</v>
      </c>
      <c r="P19" s="67">
        <f>L19*COS(V19)-K19*SIN(V19)</f>
        <v>16.347429175897183</v>
      </c>
      <c r="Q19" s="59">
        <f>M19*COS(U19)-O19*SIN(U19)</f>
        <v>16.002454417479406</v>
      </c>
      <c r="R19" s="64">
        <f>O19*COS(U19)+M19*SIN(U19)</f>
        <v>0</v>
      </c>
      <c r="S19" s="66">
        <f>SQRT(P19^2+Q19^2+R19^2)</f>
        <v>22.876122661947775</v>
      </c>
      <c r="T19" s="5"/>
      <c r="U19" s="80">
        <f t="shared" ref="U19:V22" si="1">RADIANS(C19)</f>
        <v>0.89884456477707975</v>
      </c>
      <c r="V19" s="80">
        <f t="shared" si="1"/>
        <v>0</v>
      </c>
    </row>
    <row r="20" spans="2:22" x14ac:dyDescent="0.15">
      <c r="B20" s="58" t="s">
        <v>33</v>
      </c>
      <c r="C20" s="111">
        <v>50.1</v>
      </c>
      <c r="D20" s="112">
        <v>-5.6</v>
      </c>
      <c r="E20" s="68">
        <f>G4</f>
        <v>-2.6306638892893377E-4</v>
      </c>
      <c r="F20" s="69">
        <f>G5</f>
        <v>-2.511764937604678E-3</v>
      </c>
      <c r="G20" s="70">
        <f>G6</f>
        <v>3.7911312594693992E-3</v>
      </c>
      <c r="H20" s="20">
        <f>I4*COS(U20)*COS(V20)</f>
        <v>4067.1715346712795</v>
      </c>
      <c r="I20" s="14">
        <f>I4*COS(U20)*SIN(V20)</f>
        <v>-398.7896556890808</v>
      </c>
      <c r="J20" s="22">
        <f>I4*SIN(U20)</f>
        <v>4887.609182215273</v>
      </c>
      <c r="K20" s="26">
        <f>F20*J20-G20*I20</f>
        <v>-10.764661442967084</v>
      </c>
      <c r="L20" s="15">
        <f>G20*H20-E20*J20</f>
        <v>16.704946840777687</v>
      </c>
      <c r="M20" s="16">
        <f>E20*I20-F20*H20</f>
        <v>10.320687010675469</v>
      </c>
      <c r="N20" s="28">
        <f>SQRT(K20^2+L20^2+M20^2)</f>
        <v>22.393074047732615</v>
      </c>
      <c r="O20" s="31">
        <f>K20*COS(V20)+L20*SIN(V20)</f>
        <v>-12.343403172614329</v>
      </c>
      <c r="P20" s="24">
        <f>L20*COS(V20)-K20*SIN(V20)</f>
        <v>15.574773932651645</v>
      </c>
      <c r="Q20" s="15">
        <f>M20*COS(U20)-O20*SIN(U20)</f>
        <v>16.089629649374494</v>
      </c>
      <c r="R20" s="16">
        <f>O20*COS(U20)+M20*SIN(U20)</f>
        <v>0</v>
      </c>
      <c r="S20" s="31">
        <f>SQRT(P20^2+Q20^2+R20^2)</f>
        <v>22.393074047732615</v>
      </c>
      <c r="T20" s="5"/>
      <c r="U20" s="80">
        <f t="shared" si="1"/>
        <v>0.8744099552491591</v>
      </c>
      <c r="V20" s="80">
        <f t="shared" si="1"/>
        <v>-9.7738438111682452E-2</v>
      </c>
    </row>
    <row r="21" spans="2:22" x14ac:dyDescent="0.15">
      <c r="B21" s="58" t="s">
        <v>34</v>
      </c>
      <c r="C21" s="111">
        <v>58.6</v>
      </c>
      <c r="D21" s="112">
        <v>-3</v>
      </c>
      <c r="E21" s="68">
        <f>G4</f>
        <v>-2.6306638892893377E-4</v>
      </c>
      <c r="F21" s="69">
        <f>G5</f>
        <v>-2.511764937604678E-3</v>
      </c>
      <c r="G21" s="70">
        <f>G6</f>
        <v>3.7911312594693992E-3</v>
      </c>
      <c r="H21" s="20">
        <f>I4*COS(U21)*COS(V21)</f>
        <v>3314.8033074035006</v>
      </c>
      <c r="I21" s="14">
        <f>I4*COS(U21)*SIN(V21)</f>
        <v>-173.72148010109765</v>
      </c>
      <c r="J21" s="22">
        <f>I4*SIN(U21)</f>
        <v>5437.9721294411111</v>
      </c>
      <c r="K21" s="26">
        <f>F21*J21-G21*I21</f>
        <v>-13.000306792749067</v>
      </c>
      <c r="L21" s="15">
        <f>G21*H21-E21*J21</f>
        <v>13.997402128878221</v>
      </c>
      <c r="M21" s="16">
        <f>E21*I21-F21*H21</f>
        <v>8.3717070050417188</v>
      </c>
      <c r="N21" s="28">
        <f>SQRT(K21^2+L21^2+M21^2)</f>
        <v>20.857150362438936</v>
      </c>
      <c r="O21" s="31">
        <f>K21*COS(V21)+L21*SIN(V21)</f>
        <v>-13.715057749441586</v>
      </c>
      <c r="P21" s="24">
        <f>L21*COS(V21)-K21*SIN(V21)</f>
        <v>13.297835688284179</v>
      </c>
      <c r="Q21" s="15">
        <f>M21*COS(U21)-O21*SIN(U21)</f>
        <v>16.068238461286985</v>
      </c>
      <c r="R21" s="16">
        <f>O21*COS(U21)+M21*SIN(U21)</f>
        <v>0</v>
      </c>
      <c r="S21" s="31">
        <f>SQRT(P21^2+Q21^2+R21^2)</f>
        <v>20.857150362438936</v>
      </c>
      <c r="U21" s="80">
        <f t="shared" si="1"/>
        <v>1.0227629416686772</v>
      </c>
      <c r="V21" s="80">
        <f t="shared" si="1"/>
        <v>-5.235987755982989E-2</v>
      </c>
    </row>
    <row r="22" spans="2:22" x14ac:dyDescent="0.15">
      <c r="B22" s="58" t="s">
        <v>43</v>
      </c>
      <c r="C22" s="111">
        <v>61.9</v>
      </c>
      <c r="D22" s="112">
        <v>-5.3</v>
      </c>
      <c r="E22" s="68">
        <f>G4</f>
        <v>-2.6306638892893377E-4</v>
      </c>
      <c r="F22" s="69">
        <f>G5</f>
        <v>-2.511764937604678E-3</v>
      </c>
      <c r="G22" s="70">
        <f>G6</f>
        <v>3.7911312594693992E-3</v>
      </c>
      <c r="H22" s="20">
        <f>I4*COS(U22)*COS(V22)</f>
        <v>2987.9872981839271</v>
      </c>
      <c r="I22" s="14">
        <f>I4*COS(U22)*SIN(V22)</f>
        <v>-277.18720095958685</v>
      </c>
      <c r="J22" s="22">
        <f>I4*SIN(U22)</f>
        <v>5620.0302633985611</v>
      </c>
      <c r="K22" s="26">
        <f>F22*J22-G22*I22</f>
        <v>-13.065341901598973</v>
      </c>
      <c r="L22" s="15">
        <f>G22*H22-E22*J22</f>
        <v>12.806293116106183</v>
      </c>
      <c r="M22" s="16">
        <f>E22*I22-F22*H22</f>
        <v>7.5780403656002786</v>
      </c>
      <c r="N22" s="28">
        <f>SQRT(K22^2+L22^2+M22^2)</f>
        <v>19.802297800103243</v>
      </c>
      <c r="O22" s="31">
        <f>K22*COS(V22)+L22*SIN(V22)</f>
        <v>-14.192408439795596</v>
      </c>
      <c r="P22" s="24">
        <f>L22*COS(V22)-K22*SIN(V22)</f>
        <v>11.544689041257246</v>
      </c>
      <c r="Q22" s="15">
        <f>M22*COS(U22)-O22*SIN(U22)</f>
        <v>16.088851826797598</v>
      </c>
      <c r="R22" s="16">
        <f>O22*COS(U22)+M22*SIN(U22)</f>
        <v>0</v>
      </c>
      <c r="S22" s="31">
        <f>SQRT(P22^2+Q22^2+R22^2)</f>
        <v>19.80229780010324</v>
      </c>
      <c r="U22" s="80">
        <f t="shared" si="1"/>
        <v>1.08035880698449</v>
      </c>
      <c r="V22" s="80">
        <f t="shared" si="1"/>
        <v>-9.250245035569947E-2</v>
      </c>
    </row>
    <row r="23" spans="2:22" x14ac:dyDescent="0.15">
      <c r="B23" s="58"/>
      <c r="C23" s="87"/>
      <c r="D23" s="88"/>
      <c r="E23" s="89"/>
      <c r="F23" s="90"/>
      <c r="G23" s="91"/>
      <c r="H23" s="92"/>
      <c r="I23" s="93"/>
      <c r="J23" s="94"/>
      <c r="K23" s="95"/>
      <c r="L23" s="87"/>
      <c r="M23" s="96"/>
      <c r="N23" s="97"/>
      <c r="O23" s="98"/>
      <c r="P23" s="99"/>
      <c r="Q23" s="87"/>
      <c r="R23" s="96"/>
      <c r="S23" s="98"/>
      <c r="U23" s="104"/>
      <c r="V23" s="104"/>
    </row>
    <row r="24" spans="2:22" ht="14" thickBot="1" x14ac:dyDescent="0.2">
      <c r="B24" s="100" t="s">
        <v>35</v>
      </c>
      <c r="C24" s="113">
        <v>36</v>
      </c>
      <c r="D24" s="114">
        <v>-5.5</v>
      </c>
      <c r="E24" s="101">
        <f>G12</f>
        <v>6.5729070689522263E-4</v>
      </c>
      <c r="F24" s="102">
        <f>G13</f>
        <v>-4.830699554487553E-4</v>
      </c>
      <c r="G24" s="103">
        <f>G14</f>
        <v>-1.9697318508540363E-4</v>
      </c>
      <c r="H24" s="21">
        <f>I4*COS(U24)*COS(V24)</f>
        <v>5130.5181391598471</v>
      </c>
      <c r="I24" s="17">
        <f>I4*COS(U24)*SIN(V24)</f>
        <v>-494.01270837990864</v>
      </c>
      <c r="J24" s="23">
        <f>I4*SIN(U24)</f>
        <v>3744.7798423553463</v>
      </c>
      <c r="K24" s="27">
        <f>F24*J24-G24*I24</f>
        <v>-1.9062978882542514</v>
      </c>
      <c r="L24" s="18">
        <f>G24*H24-E24*J24</f>
        <v>-3.4719834887574792</v>
      </c>
      <c r="M24" s="19">
        <f>E24*I24-F24*H24</f>
        <v>2.1536892066067246</v>
      </c>
      <c r="N24" s="29">
        <f>SQRT(K24^2+L24^2+M24^2)</f>
        <v>4.5085494544943696</v>
      </c>
      <c r="O24" s="32">
        <f>K24*COS(V24)+L24*SIN(V24)</f>
        <v>-1.5647468007059095</v>
      </c>
      <c r="P24" s="25">
        <f>L24*COS(V24)-K24*SIN(V24)</f>
        <v>-3.6387097211302519</v>
      </c>
      <c r="Q24" s="18">
        <f>M24*COS(U24)-O24*SIN(U24)</f>
        <v>2.6621062617735007</v>
      </c>
      <c r="R24" s="19">
        <f>O24*COS(U24)+M24*SIN(U24)</f>
        <v>0</v>
      </c>
      <c r="S24" s="32">
        <f>SQRT(P24^2+Q24^2+R24^2)</f>
        <v>4.5085494544943696</v>
      </c>
      <c r="U24" s="80">
        <f>RADIANS(C24)</f>
        <v>0.62831853071795862</v>
      </c>
      <c r="V24" s="80">
        <f>RADIANS(D24)</f>
        <v>-9.599310885968812E-2</v>
      </c>
    </row>
    <row r="25" spans="2:22" x14ac:dyDescent="0.15">
      <c r="C25" s="10"/>
      <c r="D25" s="10"/>
      <c r="H25" s="1"/>
      <c r="I25" s="1"/>
      <c r="J25" s="1"/>
      <c r="K25" s="13"/>
      <c r="L25" s="13"/>
      <c r="M25" s="13"/>
      <c r="N25" s="13"/>
      <c r="O25" s="13"/>
      <c r="P25" s="13"/>
      <c r="Q25" s="13"/>
      <c r="R25" s="13"/>
    </row>
    <row r="26" spans="2:22" x14ac:dyDescent="0.15">
      <c r="C26" s="10"/>
      <c r="D26" s="10"/>
      <c r="H26" s="1"/>
      <c r="I26" s="1"/>
      <c r="J26" s="1"/>
      <c r="K26" s="13"/>
      <c r="L26" s="13"/>
      <c r="M26" s="13"/>
      <c r="N26" s="13"/>
      <c r="O26" s="13"/>
      <c r="P26" s="13"/>
      <c r="Q26" s="13"/>
      <c r="R26" s="13"/>
    </row>
    <row r="27" spans="2:22" x14ac:dyDescent="0.15">
      <c r="C27" s="10"/>
      <c r="D27" s="10"/>
      <c r="H27" s="1"/>
      <c r="I27" s="1"/>
      <c r="J27" s="1"/>
      <c r="K27" s="13"/>
      <c r="L27" s="13"/>
      <c r="M27" s="13"/>
      <c r="N27" s="13"/>
      <c r="O27" s="13"/>
      <c r="P27" s="13"/>
      <c r="Q27" s="13"/>
      <c r="R27" s="13"/>
    </row>
    <row r="28" spans="2:22" x14ac:dyDescent="0.15">
      <c r="C28" s="10"/>
      <c r="D28" s="10"/>
      <c r="H28" s="1"/>
      <c r="I28" s="1"/>
      <c r="J28" s="1"/>
      <c r="K28" s="13"/>
      <c r="L28" s="13"/>
      <c r="M28" s="13"/>
      <c r="N28" s="13"/>
      <c r="O28" s="13"/>
      <c r="P28" s="13"/>
      <c r="Q28" s="13"/>
      <c r="R28" s="13"/>
    </row>
    <row r="29" spans="2:22" x14ac:dyDescent="0.15">
      <c r="C29" s="10"/>
      <c r="D29" s="10"/>
      <c r="H29" s="1"/>
      <c r="I29" s="1"/>
      <c r="J29" s="1"/>
      <c r="K29" s="13"/>
      <c r="L29" s="13"/>
      <c r="M29" s="13"/>
      <c r="N29" s="13"/>
      <c r="O29" s="13"/>
      <c r="P29" s="13"/>
      <c r="Q29" s="13"/>
      <c r="R29" s="13"/>
    </row>
    <row r="30" spans="2:22" x14ac:dyDescent="0.15">
      <c r="C30" s="10"/>
      <c r="D30" s="10"/>
      <c r="H30" s="1"/>
      <c r="I30" s="1"/>
      <c r="J30" s="1"/>
      <c r="K30" s="13"/>
      <c r="L30" s="13"/>
      <c r="M30" s="13"/>
      <c r="N30" s="13"/>
      <c r="O30" s="13"/>
      <c r="P30" s="13"/>
      <c r="Q30" s="13"/>
      <c r="R30" s="13"/>
    </row>
    <row r="31" spans="2:22" x14ac:dyDescent="0.15">
      <c r="C31" s="10"/>
      <c r="D31" s="10"/>
      <c r="G31" s="82"/>
      <c r="H31" s="1"/>
      <c r="I31" s="1"/>
      <c r="J31" s="1"/>
      <c r="K31" s="13"/>
      <c r="L31" s="13"/>
      <c r="M31" s="13"/>
      <c r="N31" s="13"/>
      <c r="O31" s="13"/>
      <c r="P31" s="13"/>
      <c r="Q31" s="13"/>
      <c r="R31" s="13"/>
    </row>
    <row r="32" spans="2:22" x14ac:dyDescent="0.15">
      <c r="C32" s="10"/>
      <c r="D32" s="10"/>
      <c r="G32" s="82"/>
      <c r="H32" s="1"/>
      <c r="I32" s="1"/>
      <c r="J32" s="1"/>
      <c r="K32" s="13"/>
      <c r="L32" s="13"/>
      <c r="M32" s="13"/>
      <c r="N32" s="13"/>
      <c r="O32" s="13"/>
      <c r="P32" s="13"/>
      <c r="Q32" s="13"/>
      <c r="R32" s="13"/>
    </row>
    <row r="33" spans="3:18" x14ac:dyDescent="0.15">
      <c r="C33" s="10"/>
      <c r="D33" s="10"/>
      <c r="G33" s="82"/>
      <c r="H33" s="1"/>
      <c r="I33" s="1"/>
      <c r="J33" s="1"/>
      <c r="K33" s="13"/>
      <c r="L33" s="13"/>
      <c r="M33" s="13"/>
      <c r="N33" s="13"/>
      <c r="O33" s="13"/>
      <c r="P33" s="13"/>
      <c r="Q33" s="13"/>
      <c r="R33" s="13"/>
    </row>
    <row r="34" spans="3:18" x14ac:dyDescent="0.15">
      <c r="C34" s="10"/>
      <c r="D34" s="10"/>
      <c r="H34" s="1"/>
      <c r="I34" s="1"/>
      <c r="J34" s="1"/>
      <c r="K34" s="13"/>
      <c r="L34" s="13"/>
      <c r="M34" s="13"/>
      <c r="N34" s="13"/>
      <c r="O34" s="13"/>
      <c r="P34" s="13"/>
      <c r="Q34" s="13"/>
      <c r="R34" s="13"/>
    </row>
    <row r="35" spans="3:18" x14ac:dyDescent="0.15">
      <c r="E35" s="1"/>
      <c r="F35" s="1"/>
      <c r="G35" s="1"/>
      <c r="H35" s="6"/>
      <c r="I35" s="6"/>
      <c r="J35" s="6"/>
      <c r="K35" s="13"/>
      <c r="L35" s="13"/>
      <c r="M35" s="13"/>
      <c r="N35" s="13"/>
      <c r="O35" s="13"/>
    </row>
    <row r="36" spans="3:18" x14ac:dyDescent="0.15">
      <c r="D36" s="1"/>
      <c r="E36" s="1"/>
      <c r="F36" s="1"/>
      <c r="G36" s="6"/>
      <c r="H36" s="6"/>
      <c r="I36" s="6"/>
      <c r="J36" s="7"/>
      <c r="K36" s="13"/>
      <c r="L36" s="13"/>
      <c r="M36" s="13"/>
    </row>
    <row r="37" spans="3:18" x14ac:dyDescent="0.15">
      <c r="D37" s="1"/>
      <c r="E37" s="1"/>
      <c r="F37" s="1"/>
      <c r="G37" s="6"/>
      <c r="H37" s="6"/>
      <c r="I37" s="6"/>
      <c r="J37" s="7"/>
      <c r="K37" s="13"/>
      <c r="L37" s="13"/>
      <c r="M37" s="13"/>
    </row>
    <row r="38" spans="3:18" x14ac:dyDescent="0.15">
      <c r="D38" s="1"/>
      <c r="E38" s="1"/>
      <c r="F38" s="1"/>
      <c r="G38" s="6"/>
      <c r="H38" s="6"/>
      <c r="I38" s="6"/>
      <c r="J38" s="7"/>
      <c r="K38" s="13"/>
      <c r="L38" s="13"/>
      <c r="M38" s="13"/>
    </row>
    <row r="39" spans="3:18" x14ac:dyDescent="0.15">
      <c r="D39" s="1"/>
      <c r="E39" s="1"/>
      <c r="F39" s="1"/>
      <c r="G39" s="6"/>
      <c r="H39" s="6"/>
      <c r="I39" s="6"/>
      <c r="J39" s="7"/>
      <c r="K39" s="13"/>
      <c r="L39" s="13"/>
      <c r="M39" s="13"/>
    </row>
    <row r="40" spans="3:18" x14ac:dyDescent="0.15">
      <c r="D40" s="1"/>
      <c r="E40" s="1"/>
      <c r="F40" s="1"/>
      <c r="G40" s="6"/>
      <c r="H40" s="6"/>
      <c r="I40" s="6"/>
      <c r="J40" s="7"/>
      <c r="K40" s="13"/>
      <c r="L40" s="13"/>
      <c r="M40" s="13"/>
    </row>
    <row r="41" spans="3:18" x14ac:dyDescent="0.15">
      <c r="D41" s="1"/>
      <c r="E41" s="1"/>
      <c r="F41" s="1"/>
      <c r="G41" s="6"/>
      <c r="H41" s="6"/>
      <c r="I41" s="6"/>
      <c r="J41" s="7"/>
      <c r="K41" s="13"/>
      <c r="L41" s="13"/>
      <c r="M41" s="13"/>
    </row>
    <row r="42" spans="3:18" x14ac:dyDescent="0.15">
      <c r="D42" s="1"/>
      <c r="E42" s="1"/>
      <c r="F42" s="1"/>
      <c r="G42" s="6"/>
      <c r="H42" s="6"/>
      <c r="I42" s="6"/>
      <c r="J42" s="7"/>
      <c r="K42" s="13"/>
      <c r="L42" s="13"/>
      <c r="M42" s="13"/>
    </row>
    <row r="43" spans="3:18" x14ac:dyDescent="0.15">
      <c r="D43" s="1"/>
      <c r="E43" s="1"/>
      <c r="F43" s="1"/>
      <c r="G43" s="6"/>
      <c r="H43" s="6"/>
      <c r="I43" s="6"/>
      <c r="J43" s="7"/>
      <c r="K43" s="13"/>
      <c r="L43" s="13"/>
      <c r="M43" s="13"/>
    </row>
    <row r="44" spans="3:18" x14ac:dyDescent="0.15">
      <c r="D44" s="1"/>
      <c r="E44" s="1"/>
      <c r="F44" s="1"/>
      <c r="G44" s="6"/>
      <c r="H44" s="6"/>
      <c r="I44" s="6"/>
      <c r="J44" s="7"/>
      <c r="K44" s="13"/>
      <c r="L44" s="13"/>
      <c r="M44" s="13"/>
    </row>
    <row r="45" spans="3:18" x14ac:dyDescent="0.15">
      <c r="D45" s="1"/>
      <c r="E45" s="1"/>
      <c r="F45" s="1"/>
      <c r="G45" s="6"/>
      <c r="H45" s="6"/>
      <c r="I45" s="6"/>
      <c r="J45" s="7"/>
      <c r="K45" s="13"/>
      <c r="L45" s="13"/>
      <c r="M45" s="13"/>
    </row>
    <row r="46" spans="3:18" x14ac:dyDescent="0.15">
      <c r="D46" s="1"/>
      <c r="E46" s="1"/>
      <c r="F46" s="1"/>
      <c r="G46" s="6"/>
      <c r="H46" s="6"/>
      <c r="I46" s="6"/>
      <c r="J46" s="7"/>
      <c r="K46" s="13"/>
      <c r="L46" s="13"/>
      <c r="M46" s="13"/>
    </row>
    <row r="47" spans="3:18" x14ac:dyDescent="0.15">
      <c r="D47" s="1"/>
      <c r="E47" s="1"/>
      <c r="F47" s="1"/>
      <c r="G47" s="6"/>
      <c r="H47" s="6"/>
      <c r="I47" s="6"/>
      <c r="J47" s="7"/>
      <c r="K47" s="13"/>
      <c r="L47" s="13"/>
      <c r="M47" s="13"/>
    </row>
  </sheetData>
  <mergeCells count="8">
    <mergeCell ref="P17:R17"/>
    <mergeCell ref="U17:V17"/>
    <mergeCell ref="C2:D2"/>
    <mergeCell ref="K2:L2"/>
    <mergeCell ref="B17:D17"/>
    <mergeCell ref="E17:G17"/>
    <mergeCell ref="H17:J17"/>
    <mergeCell ref="K17:M17"/>
  </mergeCells>
  <pageMargins left="0.75" right="0.75" top="1" bottom="1" header="0.5" footer="0.5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Euler poles</vt:lpstr>
    </vt:vector>
  </TitlesOfParts>
  <Company>Newcastle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Clarke</dc:creator>
  <cp:lastModifiedBy>Tom Mills</cp:lastModifiedBy>
  <cp:lastPrinted>2012-03-09T13:14:13Z</cp:lastPrinted>
  <dcterms:created xsi:type="dcterms:W3CDTF">2009-01-16T15:12:56Z</dcterms:created>
  <dcterms:modified xsi:type="dcterms:W3CDTF">2025-11-01T21:06:02Z</dcterms:modified>
</cp:coreProperties>
</file>